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abdullahkhan\Desktop\Personal\"/>
    </mc:Choice>
  </mc:AlternateContent>
  <bookViews>
    <workbookView xWindow="0" yWindow="0" windowWidth="25125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0" i="1" l="1"/>
  <c r="AB18" i="1"/>
  <c r="AA18" i="1"/>
  <c r="Z18" i="1"/>
  <c r="Y18" i="1"/>
  <c r="AB11" i="1"/>
  <c r="AB12" i="1"/>
  <c r="Z12" i="1"/>
  <c r="Z13" i="1"/>
  <c r="AB13" i="1" s="1"/>
  <c r="Z11" i="1"/>
  <c r="Z10" i="1"/>
  <c r="AB10" i="1"/>
  <c r="AH10" i="1"/>
  <c r="AH18" i="1"/>
  <c r="AF20" i="1" s="1"/>
  <c r="AF13" i="1"/>
  <c r="AF14" i="1"/>
  <c r="AF15" i="1"/>
  <c r="AF16" i="1"/>
  <c r="AF12" i="1"/>
  <c r="AF11" i="1"/>
  <c r="AH11" i="1" s="1"/>
  <c r="AG18" i="1"/>
  <c r="AE18" i="1"/>
  <c r="U36" i="1"/>
  <c r="N29" i="1"/>
  <c r="N28" i="1"/>
  <c r="N27" i="1"/>
  <c r="J28" i="1"/>
  <c r="Z14" i="1" l="1"/>
  <c r="AH12" i="1"/>
  <c r="M26" i="1"/>
  <c r="H31" i="1" s="1"/>
  <c r="J31" i="1" s="1"/>
  <c r="L31" i="1" s="1"/>
  <c r="L28" i="1"/>
  <c r="O27" i="1"/>
  <c r="O28" i="1" s="1"/>
  <c r="O29" i="1" s="1"/>
  <c r="O30" i="1" s="1"/>
  <c r="O31" i="1" s="1"/>
  <c r="O32" i="1" s="1"/>
  <c r="O33" i="1" s="1"/>
  <c r="O34" i="1" s="1"/>
  <c r="O36" i="1" s="1"/>
  <c r="K36" i="1"/>
  <c r="J27" i="1"/>
  <c r="L27" i="1"/>
  <c r="H34" i="1"/>
  <c r="J34" i="1" s="1"/>
  <c r="L34" i="1" s="1"/>
  <c r="H33" i="1"/>
  <c r="J33" i="1" s="1"/>
  <c r="L33" i="1" s="1"/>
  <c r="H32" i="1"/>
  <c r="J32" i="1" s="1"/>
  <c r="L32" i="1" s="1"/>
  <c r="H29" i="1"/>
  <c r="J29" i="1" s="1"/>
  <c r="L29" i="1" s="1"/>
  <c r="N8" i="1"/>
  <c r="N9" i="1" s="1"/>
  <c r="N10" i="1" s="1"/>
  <c r="N11" i="1" s="1"/>
  <c r="N12" i="1" s="1"/>
  <c r="N13" i="1" s="1"/>
  <c r="N14" i="1" s="1"/>
  <c r="N15" i="1" s="1"/>
  <c r="N16" i="1" s="1"/>
  <c r="N18" i="1" s="1"/>
  <c r="J18" i="1"/>
  <c r="K8" i="1"/>
  <c r="I12" i="1"/>
  <c r="K12" i="1" s="1"/>
  <c r="I13" i="1"/>
  <c r="K13" i="1" s="1"/>
  <c r="I14" i="1"/>
  <c r="K14" i="1" s="1"/>
  <c r="I15" i="1"/>
  <c r="K15" i="1" s="1"/>
  <c r="I16" i="1"/>
  <c r="K16" i="1" s="1"/>
  <c r="I11" i="1"/>
  <c r="K11" i="1" s="1"/>
  <c r="I10" i="1"/>
  <c r="K10" i="1" s="1"/>
  <c r="I9" i="1"/>
  <c r="K9" i="1" s="1"/>
  <c r="I8" i="1"/>
  <c r="M8" i="1" s="1"/>
  <c r="M9" i="1" s="1"/>
  <c r="AB14" i="1" l="1"/>
  <c r="Z15" i="1" s="1"/>
  <c r="AH13" i="1"/>
  <c r="H30" i="1"/>
  <c r="J30" i="1" s="1"/>
  <c r="L30" i="1" s="1"/>
  <c r="L36" i="1"/>
  <c r="N30" i="1"/>
  <c r="N31" i="1" s="1"/>
  <c r="N32" i="1" s="1"/>
  <c r="N33" i="1" s="1"/>
  <c r="N34" i="1" s="1"/>
  <c r="N36" i="1" s="1"/>
  <c r="J36" i="1"/>
  <c r="M10" i="1"/>
  <c r="M11" i="1" s="1"/>
  <c r="M12" i="1" s="1"/>
  <c r="M13" i="1" s="1"/>
  <c r="M14" i="1" s="1"/>
  <c r="M15" i="1" s="1"/>
  <c r="M16" i="1" s="1"/>
  <c r="M18" i="1" s="1"/>
  <c r="K18" i="1"/>
  <c r="I18" i="1"/>
  <c r="AB15" i="1" l="1"/>
  <c r="Z16" i="1"/>
  <c r="AB16" i="1" s="1"/>
  <c r="AH14" i="1"/>
  <c r="AH15" i="1" s="1"/>
  <c r="AH16" i="1" l="1"/>
  <c r="AF18" i="1"/>
</calcChain>
</file>

<file path=xl/sharedStrings.xml><?xml version="1.0" encoding="utf-8"?>
<sst xmlns="http://schemas.openxmlformats.org/spreadsheetml/2006/main" count="145" uniqueCount="56">
  <si>
    <t>Applicant</t>
  </si>
  <si>
    <t>Amount</t>
  </si>
  <si>
    <t>Total</t>
  </si>
  <si>
    <t>Received</t>
  </si>
  <si>
    <t>Additional</t>
  </si>
  <si>
    <t>Fuel</t>
  </si>
  <si>
    <t>Gym</t>
  </si>
  <si>
    <t>Grocery</t>
  </si>
  <si>
    <t>Veg+Meat</t>
  </si>
  <si>
    <t>Card</t>
  </si>
  <si>
    <t>Spent Already</t>
  </si>
  <si>
    <t>Spending Left</t>
  </si>
  <si>
    <t>N/A</t>
  </si>
  <si>
    <t>Maid</t>
  </si>
  <si>
    <t>Chef</t>
  </si>
  <si>
    <t>Dhobi</t>
  </si>
  <si>
    <t>Maali</t>
  </si>
  <si>
    <t>Expected Remaining</t>
  </si>
  <si>
    <t>Actual Remaining</t>
  </si>
  <si>
    <t>Monthly Allowance</t>
  </si>
  <si>
    <t>Salary CutOff Expenditure</t>
  </si>
  <si>
    <t>Percentage Allocated</t>
  </si>
  <si>
    <t>Crypto</t>
  </si>
  <si>
    <t>AMC</t>
  </si>
  <si>
    <t>Personal</t>
  </si>
  <si>
    <t>Statement</t>
  </si>
  <si>
    <t>Home</t>
  </si>
  <si>
    <t>Donate</t>
  </si>
  <si>
    <t>Phupho</t>
  </si>
  <si>
    <t>Date</t>
  </si>
  <si>
    <t>Item</t>
  </si>
  <si>
    <t>1st</t>
  </si>
  <si>
    <t>Burger</t>
  </si>
  <si>
    <t>y</t>
  </si>
  <si>
    <t>2nd</t>
  </si>
  <si>
    <t>MCPE</t>
  </si>
  <si>
    <t>Snackyard</t>
  </si>
  <si>
    <t>30th LM</t>
  </si>
  <si>
    <t>Month</t>
  </si>
  <si>
    <t>Investment</t>
  </si>
  <si>
    <t>Profit</t>
  </si>
  <si>
    <t>Total Now</t>
  </si>
  <si>
    <t>Profit in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</si>
  <si>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</si>
  <si>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</si>
  <si>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</si>
  <si>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</si>
  <si>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</si>
  <si>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</si>
  <si>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</si>
  <si>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</si>
  <si>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</si>
  <si>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</si>
  <si>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</si>
  <si>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</si>
  <si>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- Rate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</si>
</sst>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AH36"/>
  <sheetViews>
    <sheetView tabSelected="1" topLeftCell="I7" workbookViewId="0">
      <selection activeCell="Z20" sqref="Z20"/>
    </sheetView>
  </sheetViews>
  <sheetFormatPr defaultRowHeight="15" x14ac:dyDescent="0.25"/>
  <cols>
    <col min="4" max="4" width="10.5703125" customWidth="1"/>
    <col min="5" max="5" width="8.5703125" customWidth="1"/>
    <col min="6" max="6" width="13.7109375" customWidth="1"/>
    <col min="7" max="7" width="20.140625" customWidth="1"/>
    <col min="8" max="8" width="10.7109375" customWidth="1"/>
    <col min="9" max="9" width="20" customWidth="1"/>
    <col min="10" max="10" width="18.140625" customWidth="1"/>
  </cols>
  <sheetData>
    <row r="2" spans="5:34" x14ac:dyDescent="0.25">
      <c r="T2" t="s">
        <v>4</v>
      </c>
      <c r="AA2" t="s">
        <v>55</v>
      </c>
    </row>
    <row r="3" spans="5:34" x14ac:dyDescent="0.25">
      <c r="I3" s="1" t="s">
        <v>19</v>
      </c>
      <c r="Z3" t="s">
        <v>22</v>
      </c>
      <c r="AF3" t="s">
        <v>23</v>
      </c>
    </row>
    <row r="4" spans="5:34" x14ac:dyDescent="0.25">
      <c r="S4" t="s">
        <v>29</v>
      </c>
      <c r="T4" t="s">
        <v>30</v>
      </c>
      <c r="U4" t="s">
        <v>1</v>
      </c>
      <c r="X4" t="s">
        <v>38</v>
      </c>
      <c r="Y4" t="s">
        <v>39</v>
      </c>
      <c r="Z4" t="s">
        <v>41</v>
      </c>
      <c r="AA4" t="s">
        <v>42</v>
      </c>
      <c r="AB4" t="s">
        <v>40</v>
      </c>
      <c r="AD4" t="s">
        <v>38</v>
      </c>
      <c r="AE4" t="s">
        <v>39</v>
      </c>
      <c r="AF4" t="s">
        <v>41</v>
      </c>
      <c r="AG4" t="s">
        <v>42</v>
      </c>
      <c r="AH4" t="s">
        <v>40</v>
      </c>
    </row>
    <row r="5" spans="5:34" x14ac:dyDescent="0.25">
      <c r="S5" t="s">
        <v>31</v>
      </c>
      <c r="T5" t="s">
        <v>32</v>
      </c>
      <c r="U5">
        <v>1450</v>
      </c>
      <c r="X5" t="s">
        <v>43</v>
      </c>
      <c r="Y5" t="s">
        <v>12</v>
      </c>
      <c r="Z5" t="s">
        <v>12</v>
      </c>
      <c r="AA5" t="s">
        <v>12</v>
      </c>
      <c r="AB5" t="s">
        <v>12</v>
      </c>
      <c r="AD5" t="s">
        <v>43</v>
      </c>
      <c r="AE5" t="s">
        <v>12</v>
      </c>
      <c r="AF5" t="s">
        <v>12</v>
      </c>
      <c r="AG5" t="s">
        <v>12</v>
      </c>
      <c r="AH5" t="s">
        <v>12</v>
      </c>
    </row>
    <row r="6" spans="5:34" x14ac:dyDescent="0.25">
      <c r="F6" s="1" t="s">
        <v>0</v>
      </c>
      <c r="G6" s="1" t="s">
        <v>1</v>
      </c>
      <c r="H6" s="1" t="s">
        <v>4</v>
      </c>
      <c r="I6" s="1" t="s">
        <v>2</v>
      </c>
      <c r="J6" s="1" t="s">
        <v>10</v>
      </c>
      <c r="K6" s="1" t="s">
        <v>11</v>
      </c>
      <c r="L6" s="1" t="s">
        <v>3</v>
      </c>
      <c r="M6" s="1" t="s">
        <v>17</v>
      </c>
      <c r="N6" s="1" t="s">
        <v>18</v>
      </c>
      <c r="S6" t="s">
        <v>34</v>
      </c>
      <c r="T6" t="s">
        <v>35</v>
      </c>
      <c r="U6">
        <v>1000</v>
      </c>
      <c r="X6" t="s">
        <v>44</v>
      </c>
      <c r="Y6" t="s">
        <v>12</v>
      </c>
      <c r="Z6" t="s">
        <v>12</v>
      </c>
      <c r="AA6" t="s">
        <v>12</v>
      </c>
      <c r="AB6" t="s">
        <v>12</v>
      </c>
      <c r="AD6" t="s">
        <v>44</v>
      </c>
      <c r="AE6" t="s">
        <v>12</v>
      </c>
      <c r="AF6" t="s">
        <v>12</v>
      </c>
      <c r="AG6" t="s">
        <v>12</v>
      </c>
      <c r="AH6" t="s">
        <v>12</v>
      </c>
    </row>
    <row r="7" spans="5:34" x14ac:dyDescent="0.25">
      <c r="L7">
        <v>92000</v>
      </c>
      <c r="S7" t="s">
        <v>31</v>
      </c>
      <c r="T7" t="s">
        <v>36</v>
      </c>
      <c r="U7">
        <v>700</v>
      </c>
      <c r="X7" t="s">
        <v>45</v>
      </c>
      <c r="Y7" t="s">
        <v>12</v>
      </c>
      <c r="Z7" t="s">
        <v>12</v>
      </c>
      <c r="AA7" t="s">
        <v>12</v>
      </c>
      <c r="AB7" t="s">
        <v>12</v>
      </c>
      <c r="AD7" t="s">
        <v>45</v>
      </c>
      <c r="AE7" t="s">
        <v>12</v>
      </c>
      <c r="AF7" t="s">
        <v>12</v>
      </c>
      <c r="AG7" t="s">
        <v>12</v>
      </c>
      <c r="AH7" t="s">
        <v>12</v>
      </c>
    </row>
    <row r="8" spans="5:34" x14ac:dyDescent="0.25">
      <c r="E8" t="s">
        <v>33</v>
      </c>
      <c r="F8" s="1" t="s">
        <v>13</v>
      </c>
      <c r="G8">
        <v>13000</v>
      </c>
      <c r="H8">
        <v>3000</v>
      </c>
      <c r="I8">
        <f t="shared" ref="I8:I16" si="0">SUM(G8:H8)</f>
        <v>16000</v>
      </c>
      <c r="J8">
        <v>16000</v>
      </c>
      <c r="K8">
        <f t="shared" ref="K8:K16" si="1">SUM(I8-J8)</f>
        <v>0</v>
      </c>
      <c r="M8">
        <f>SUM(L7-I8)</f>
        <v>76000</v>
      </c>
      <c r="N8">
        <f>SUM(L7-J8)</f>
        <v>76000</v>
      </c>
      <c r="S8" t="s">
        <v>37</v>
      </c>
      <c r="T8" t="s">
        <v>36</v>
      </c>
      <c r="U8">
        <v>1350</v>
      </c>
      <c r="X8" t="s">
        <v>46</v>
      </c>
      <c r="Y8" t="s">
        <v>12</v>
      </c>
      <c r="Z8" t="s">
        <v>12</v>
      </c>
      <c r="AA8" t="s">
        <v>12</v>
      </c>
      <c r="AB8" t="s">
        <v>12</v>
      </c>
      <c r="AD8" t="s">
        <v>46</v>
      </c>
      <c r="AE8" t="s">
        <v>12</v>
      </c>
      <c r="AF8" t="s">
        <v>12</v>
      </c>
      <c r="AG8" t="s">
        <v>12</v>
      </c>
      <c r="AH8" t="s">
        <v>12</v>
      </c>
    </row>
    <row r="9" spans="5:34" x14ac:dyDescent="0.25">
      <c r="E9" t="s">
        <v>33</v>
      </c>
      <c r="F9" s="1" t="s">
        <v>14</v>
      </c>
      <c r="G9">
        <v>13000</v>
      </c>
      <c r="H9">
        <v>0</v>
      </c>
      <c r="I9">
        <f t="shared" si="0"/>
        <v>13000</v>
      </c>
      <c r="J9">
        <v>0</v>
      </c>
      <c r="K9">
        <f t="shared" si="1"/>
        <v>13000</v>
      </c>
      <c r="M9">
        <f>SUM(M8-I9)</f>
        <v>63000</v>
      </c>
      <c r="N9">
        <f>SUM(N8-J9)</f>
        <v>76000</v>
      </c>
      <c r="X9" t="s">
        <v>47</v>
      </c>
      <c r="Y9" t="s">
        <v>12</v>
      </c>
      <c r="Z9" t="s">
        <v>12</v>
      </c>
      <c r="AA9" t="s">
        <v>12</v>
      </c>
      <c r="AB9" t="s">
        <v>12</v>
      </c>
      <c r="AD9" t="s">
        <v>47</v>
      </c>
      <c r="AE9" t="s">
        <v>12</v>
      </c>
      <c r="AF9" t="s">
        <v>12</v>
      </c>
      <c r="AG9" t="s">
        <v>12</v>
      </c>
      <c r="AH9" t="s">
        <v>12</v>
      </c>
    </row>
    <row r="10" spans="5:34" x14ac:dyDescent="0.25">
      <c r="E10" t="s">
        <v>33</v>
      </c>
      <c r="F10" s="1" t="s">
        <v>15</v>
      </c>
      <c r="G10">
        <v>4000</v>
      </c>
      <c r="H10">
        <v>0</v>
      </c>
      <c r="I10">
        <f t="shared" si="0"/>
        <v>4000</v>
      </c>
      <c r="J10">
        <v>0</v>
      </c>
      <c r="K10">
        <f t="shared" si="1"/>
        <v>4000</v>
      </c>
      <c r="M10">
        <f t="shared" ref="M10:M16" si="2">SUM(M9-I10)</f>
        <v>59000</v>
      </c>
      <c r="N10">
        <f t="shared" ref="N10:N16" si="3">SUM(N9-J10)</f>
        <v>76000</v>
      </c>
      <c r="X10" t="s">
        <v>48</v>
      </c>
      <c r="Y10">
        <v>30000</v>
      </c>
      <c r="Z10">
        <f>SUM(Y10)</f>
        <v>30000</v>
      </c>
      <c r="AA10" s="2">
        <v>0.04</v>
      </c>
      <c r="AB10">
        <f>SUM(Z10*AA10)</f>
        <v>1200</v>
      </c>
      <c r="AD10" t="s">
        <v>48</v>
      </c>
      <c r="AE10">
        <v>30000</v>
      </c>
      <c r="AF10">
        <v>30000</v>
      </c>
      <c r="AG10" s="2">
        <v>0.02</v>
      </c>
      <c r="AH10">
        <f>SUM(AF10*AG10)</f>
        <v>600</v>
      </c>
    </row>
    <row r="11" spans="5:34" x14ac:dyDescent="0.25">
      <c r="E11" t="s">
        <v>33</v>
      </c>
      <c r="F11" s="1" t="s">
        <v>16</v>
      </c>
      <c r="G11">
        <v>6000</v>
      </c>
      <c r="H11">
        <v>500</v>
      </c>
      <c r="I11">
        <f t="shared" si="0"/>
        <v>6500</v>
      </c>
      <c r="J11">
        <v>0</v>
      </c>
      <c r="K11">
        <f t="shared" si="1"/>
        <v>6500</v>
      </c>
      <c r="M11">
        <f t="shared" si="2"/>
        <v>52500</v>
      </c>
      <c r="N11">
        <f t="shared" si="3"/>
        <v>76000</v>
      </c>
      <c r="X11" t="s">
        <v>49</v>
      </c>
      <c r="Y11">
        <v>35000</v>
      </c>
      <c r="Z11">
        <f>SUM(Z10+Y11+AB10)</f>
        <v>66200</v>
      </c>
      <c r="AA11" s="2">
        <v>0.04</v>
      </c>
      <c r="AB11">
        <f t="shared" ref="AB11:AB16" si="4">SUM(Z11*AA11)</f>
        <v>2648</v>
      </c>
      <c r="AD11" t="s">
        <v>49</v>
      </c>
      <c r="AE11">
        <v>35000</v>
      </c>
      <c r="AF11">
        <f>SUM(AF10+AE11)</f>
        <v>65000</v>
      </c>
      <c r="AG11" s="2">
        <v>0.02</v>
      </c>
      <c r="AH11">
        <f>SUM(AF11*AG11)</f>
        <v>1300</v>
      </c>
    </row>
    <row r="12" spans="5:34" x14ac:dyDescent="0.25">
      <c r="F12" s="1" t="s">
        <v>5</v>
      </c>
      <c r="G12">
        <v>15000</v>
      </c>
      <c r="H12">
        <v>0</v>
      </c>
      <c r="I12">
        <f t="shared" si="0"/>
        <v>15000</v>
      </c>
      <c r="J12">
        <v>5000</v>
      </c>
      <c r="K12">
        <f t="shared" si="1"/>
        <v>10000</v>
      </c>
      <c r="M12">
        <f t="shared" si="2"/>
        <v>37500</v>
      </c>
      <c r="N12">
        <f t="shared" si="3"/>
        <v>71000</v>
      </c>
      <c r="X12" t="s">
        <v>50</v>
      </c>
      <c r="Y12">
        <v>35000</v>
      </c>
      <c r="Z12">
        <f t="shared" ref="Z12:Z16" si="5">SUM(Z11+Y12+AB11)</f>
        <v>103848</v>
      </c>
      <c r="AA12" s="2">
        <v>0.04</v>
      </c>
      <c r="AB12">
        <f t="shared" si="4"/>
        <v>4153.92</v>
      </c>
      <c r="AD12" t="s">
        <v>50</v>
      </c>
      <c r="AE12">
        <v>35000</v>
      </c>
      <c r="AF12">
        <f>SUM(AF11+AE12)</f>
        <v>100000</v>
      </c>
      <c r="AG12" s="2">
        <v>0.02</v>
      </c>
      <c r="AH12">
        <f t="shared" ref="AH12:AH16" si="6">SUM(AF12*AG12)</f>
        <v>2000</v>
      </c>
    </row>
    <row r="13" spans="5:34" x14ac:dyDescent="0.25">
      <c r="E13" t="s">
        <v>33</v>
      </c>
      <c r="F13" s="1" t="s">
        <v>28</v>
      </c>
      <c r="G13">
        <v>7000</v>
      </c>
      <c r="H13">
        <v>6500</v>
      </c>
      <c r="I13">
        <f t="shared" si="0"/>
        <v>13500</v>
      </c>
      <c r="J13">
        <v>6000</v>
      </c>
      <c r="K13">
        <f t="shared" si="1"/>
        <v>7500</v>
      </c>
      <c r="M13">
        <f t="shared" si="2"/>
        <v>24000</v>
      </c>
      <c r="N13">
        <f t="shared" si="3"/>
        <v>65000</v>
      </c>
      <c r="X13" t="s">
        <v>51</v>
      </c>
      <c r="Y13">
        <v>35000</v>
      </c>
      <c r="Z13">
        <f t="shared" si="5"/>
        <v>143001.92000000001</v>
      </c>
      <c r="AA13" s="2">
        <v>0.04</v>
      </c>
      <c r="AB13">
        <f t="shared" si="4"/>
        <v>5720.0768000000007</v>
      </c>
      <c r="AD13" t="s">
        <v>51</v>
      </c>
      <c r="AE13">
        <v>35000</v>
      </c>
      <c r="AF13">
        <f t="shared" ref="AF13:AF16" si="7">SUM(AF12+AE13)</f>
        <v>135000</v>
      </c>
      <c r="AG13" s="2">
        <v>0.02</v>
      </c>
      <c r="AH13">
        <f t="shared" si="6"/>
        <v>2700</v>
      </c>
    </row>
    <row r="14" spans="5:34" x14ac:dyDescent="0.25">
      <c r="F14" s="1" t="s">
        <v>7</v>
      </c>
      <c r="G14">
        <v>18000</v>
      </c>
      <c r="I14">
        <f t="shared" si="0"/>
        <v>18000</v>
      </c>
      <c r="J14">
        <v>0</v>
      </c>
      <c r="K14">
        <f t="shared" si="1"/>
        <v>18000</v>
      </c>
      <c r="M14">
        <f t="shared" si="2"/>
        <v>6000</v>
      </c>
      <c r="N14">
        <f t="shared" si="3"/>
        <v>65000</v>
      </c>
      <c r="X14" t="s">
        <v>52</v>
      </c>
      <c r="Y14">
        <v>35000</v>
      </c>
      <c r="Z14">
        <f t="shared" si="5"/>
        <v>183721.99680000002</v>
      </c>
      <c r="AA14" s="2">
        <v>0.04</v>
      </c>
      <c r="AB14">
        <f t="shared" si="4"/>
        <v>7348.8798720000013</v>
      </c>
      <c r="AD14" t="s">
        <v>52</v>
      </c>
      <c r="AE14">
        <v>35000</v>
      </c>
      <c r="AF14">
        <f t="shared" si="7"/>
        <v>170000</v>
      </c>
      <c r="AG14" s="2">
        <v>0.02</v>
      </c>
      <c r="AH14">
        <f t="shared" si="6"/>
        <v>3400</v>
      </c>
    </row>
    <row r="15" spans="5:34" x14ac:dyDescent="0.25">
      <c r="F15" s="1" t="s">
        <v>8</v>
      </c>
      <c r="G15">
        <v>10000</v>
      </c>
      <c r="I15">
        <f t="shared" si="0"/>
        <v>10000</v>
      </c>
      <c r="J15">
        <v>1200</v>
      </c>
      <c r="K15">
        <f t="shared" si="1"/>
        <v>8800</v>
      </c>
      <c r="M15">
        <f t="shared" si="2"/>
        <v>-4000</v>
      </c>
      <c r="N15">
        <f t="shared" si="3"/>
        <v>63800</v>
      </c>
      <c r="X15" t="s">
        <v>53</v>
      </c>
      <c r="Y15">
        <v>35000</v>
      </c>
      <c r="Z15">
        <f t="shared" si="5"/>
        <v>226070.87667200001</v>
      </c>
      <c r="AA15" s="2">
        <v>0.04</v>
      </c>
      <c r="AB15">
        <f t="shared" si="4"/>
        <v>9042.8350668800012</v>
      </c>
      <c r="AD15" t="s">
        <v>53</v>
      </c>
      <c r="AE15">
        <v>35000</v>
      </c>
      <c r="AF15">
        <f t="shared" si="7"/>
        <v>205000</v>
      </c>
      <c r="AG15" s="2">
        <v>0.02</v>
      </c>
      <c r="AH15">
        <f t="shared" si="6"/>
        <v>4100</v>
      </c>
    </row>
    <row r="16" spans="5:34" x14ac:dyDescent="0.25">
      <c r="F16" s="1" t="s">
        <v>9</v>
      </c>
      <c r="G16">
        <v>7500</v>
      </c>
      <c r="I16">
        <f t="shared" si="0"/>
        <v>7500</v>
      </c>
      <c r="J16">
        <v>1800</v>
      </c>
      <c r="K16">
        <f t="shared" si="1"/>
        <v>5700</v>
      </c>
      <c r="M16">
        <f t="shared" si="2"/>
        <v>-11500</v>
      </c>
      <c r="N16">
        <f t="shared" si="3"/>
        <v>62000</v>
      </c>
      <c r="X16" t="s">
        <v>54</v>
      </c>
      <c r="Y16">
        <v>35000</v>
      </c>
      <c r="Z16">
        <f t="shared" si="5"/>
        <v>270113.71173888003</v>
      </c>
      <c r="AA16" s="2">
        <v>0.04</v>
      </c>
      <c r="AB16">
        <f t="shared" si="4"/>
        <v>10804.5484695552</v>
      </c>
      <c r="AD16" t="s">
        <v>54</v>
      </c>
      <c r="AE16">
        <v>35000</v>
      </c>
      <c r="AF16">
        <f t="shared" si="7"/>
        <v>240000</v>
      </c>
      <c r="AG16" s="2">
        <v>0.02</v>
      </c>
      <c r="AH16">
        <f t="shared" si="6"/>
        <v>4800</v>
      </c>
    </row>
    <row r="18" spans="6:34" x14ac:dyDescent="0.25">
      <c r="F18" s="1" t="s">
        <v>2</v>
      </c>
      <c r="G18" s="1" t="s">
        <v>12</v>
      </c>
      <c r="H18" s="1" t="s">
        <v>12</v>
      </c>
      <c r="I18" s="1">
        <f>SUM(I8:I16)</f>
        <v>103500</v>
      </c>
      <c r="J18" s="1">
        <f t="shared" ref="J18" si="8">SUM(J8:J16)</f>
        <v>30000</v>
      </c>
      <c r="K18" s="1">
        <f>SUM(K8:K16)</f>
        <v>73500</v>
      </c>
      <c r="L18" s="1"/>
      <c r="M18" s="1">
        <f>SUM(M16)</f>
        <v>-11500</v>
      </c>
      <c r="N18" s="1">
        <f>SUM(N16)</f>
        <v>62000</v>
      </c>
      <c r="X18" s="1" t="s">
        <v>2</v>
      </c>
      <c r="Y18">
        <f>SUM(Y10:Y16)</f>
        <v>240000</v>
      </c>
      <c r="Z18">
        <f>SUM(Z16)</f>
        <v>270113.71173888003</v>
      </c>
      <c r="AA18">
        <f>SUM((1+AA16)^6-1)</f>
        <v>0.26531901849600037</v>
      </c>
      <c r="AB18">
        <f>SUM(AB10:AB16)</f>
        <v>40918.260208435204</v>
      </c>
      <c r="AD18" s="1" t="s">
        <v>2</v>
      </c>
      <c r="AE18">
        <f>SUM(AE10:AE16)</f>
        <v>240000</v>
      </c>
      <c r="AF18">
        <f>SUM(AF16)</f>
        <v>240000</v>
      </c>
      <c r="AG18">
        <f>SUM((1+AG16)^6-1)</f>
        <v>0.12616241926400007</v>
      </c>
      <c r="AH18">
        <f>SUM(AH10:AH16)</f>
        <v>18900</v>
      </c>
    </row>
    <row r="20" spans="6:34" x14ac:dyDescent="0.25">
      <c r="Z20">
        <f>SUM(Z18)</f>
        <v>270113.71173888003</v>
      </c>
      <c r="AF20">
        <f>SUM(AF18+AH18)</f>
        <v>258900</v>
      </c>
    </row>
    <row r="21" spans="6:34" x14ac:dyDescent="0.25">
      <c r="I21" s="1" t="s">
        <v>20</v>
      </c>
    </row>
    <row r="24" spans="6:34" x14ac:dyDescent="0.25">
      <c r="F24" s="1" t="s">
        <v>0</v>
      </c>
      <c r="G24" s="1" t="s">
        <v>21</v>
      </c>
      <c r="H24" s="1" t="s">
        <v>1</v>
      </c>
      <c r="I24" s="1" t="s">
        <v>4</v>
      </c>
      <c r="J24" s="1" t="s">
        <v>2</v>
      </c>
      <c r="K24" s="1" t="s">
        <v>10</v>
      </c>
      <c r="L24" s="1" t="s">
        <v>11</v>
      </c>
      <c r="M24" s="1" t="s">
        <v>3</v>
      </c>
      <c r="N24" s="1" t="s">
        <v>17</v>
      </c>
      <c r="O24" s="1" t="s">
        <v>18</v>
      </c>
    </row>
    <row r="25" spans="6:34" x14ac:dyDescent="0.25">
      <c r="M25">
        <v>147000</v>
      </c>
    </row>
    <row r="26" spans="6:34" x14ac:dyDescent="0.25">
      <c r="M26">
        <f>SUM(M25-J27-J28)</f>
        <v>120000</v>
      </c>
    </row>
    <row r="27" spans="6:34" x14ac:dyDescent="0.25">
      <c r="F27" s="1" t="s">
        <v>5</v>
      </c>
      <c r="G27" t="s">
        <v>12</v>
      </c>
      <c r="H27">
        <v>15000</v>
      </c>
      <c r="I27">
        <v>0</v>
      </c>
      <c r="J27">
        <f>SUM(H27:I27)</f>
        <v>15000</v>
      </c>
      <c r="K27">
        <v>0</v>
      </c>
      <c r="L27">
        <f>SUM(J27-K27)</f>
        <v>15000</v>
      </c>
      <c r="N27">
        <f>SUM(M25-J27)</f>
        <v>132000</v>
      </c>
      <c r="O27">
        <f>SUM(M25-K27)</f>
        <v>147000</v>
      </c>
    </row>
    <row r="28" spans="6:34" x14ac:dyDescent="0.25">
      <c r="F28" s="1" t="s">
        <v>6</v>
      </c>
      <c r="G28" t="s">
        <v>12</v>
      </c>
      <c r="H28">
        <v>12000</v>
      </c>
      <c r="I28">
        <v>0</v>
      </c>
      <c r="J28">
        <f>SUM(H28:I28)</f>
        <v>12000</v>
      </c>
      <c r="K28">
        <v>0</v>
      </c>
      <c r="L28">
        <f>SUM(J28-K28)</f>
        <v>12000</v>
      </c>
      <c r="N28">
        <f>SUM(N27-J28)</f>
        <v>120000</v>
      </c>
      <c r="O28">
        <f>SUM(O27-K28)</f>
        <v>147000</v>
      </c>
    </row>
    <row r="29" spans="6:34" x14ac:dyDescent="0.25">
      <c r="F29" s="1" t="s">
        <v>23</v>
      </c>
      <c r="G29" s="2">
        <v>0.25</v>
      </c>
      <c r="H29">
        <f>SUM(M26*G29)</f>
        <v>30000</v>
      </c>
      <c r="I29">
        <v>0</v>
      </c>
      <c r="J29">
        <f t="shared" ref="J29:J34" si="9">SUM(H29:I29)</f>
        <v>30000</v>
      </c>
      <c r="K29">
        <v>0</v>
      </c>
      <c r="L29">
        <f t="shared" ref="L29:L34" si="10">SUM(J29-K29)</f>
        <v>30000</v>
      </c>
      <c r="N29">
        <f>SUM(N28-J29)</f>
        <v>90000</v>
      </c>
      <c r="O29">
        <f>SUM(O28-K29)</f>
        <v>147000</v>
      </c>
    </row>
    <row r="30" spans="6:34" x14ac:dyDescent="0.25">
      <c r="F30" s="1" t="s">
        <v>22</v>
      </c>
      <c r="G30" s="2">
        <v>0.25</v>
      </c>
      <c r="H30">
        <f>SUM(M26*G30)</f>
        <v>30000</v>
      </c>
      <c r="I30">
        <v>0</v>
      </c>
      <c r="J30">
        <f t="shared" si="9"/>
        <v>30000</v>
      </c>
      <c r="K30">
        <v>0</v>
      </c>
      <c r="L30">
        <f t="shared" si="10"/>
        <v>30000</v>
      </c>
      <c r="N30">
        <f>SUM(N29-J30)</f>
        <v>60000</v>
      </c>
      <c r="O30">
        <f t="shared" ref="O30:O34" si="11">SUM(O29-K30)</f>
        <v>147000</v>
      </c>
    </row>
    <row r="31" spans="6:34" x14ac:dyDescent="0.25">
      <c r="F31" s="1" t="s">
        <v>24</v>
      </c>
      <c r="G31" s="2">
        <v>0.2</v>
      </c>
      <c r="H31">
        <f>SUM(M26*G31)</f>
        <v>24000</v>
      </c>
      <c r="I31">
        <v>0</v>
      </c>
      <c r="J31">
        <f t="shared" si="9"/>
        <v>24000</v>
      </c>
      <c r="K31">
        <v>0</v>
      </c>
      <c r="L31">
        <f t="shared" si="10"/>
        <v>24000</v>
      </c>
      <c r="N31">
        <f t="shared" ref="N31:N34" si="12">SUM(N30-J31)</f>
        <v>36000</v>
      </c>
      <c r="O31">
        <f t="shared" si="11"/>
        <v>147000</v>
      </c>
    </row>
    <row r="32" spans="6:34" x14ac:dyDescent="0.25">
      <c r="F32" s="1" t="s">
        <v>25</v>
      </c>
      <c r="G32" s="2">
        <v>0.1</v>
      </c>
      <c r="H32">
        <f>SUM(M26*G32)</f>
        <v>12000</v>
      </c>
      <c r="I32">
        <v>0</v>
      </c>
      <c r="J32">
        <f t="shared" si="9"/>
        <v>12000</v>
      </c>
      <c r="K32">
        <v>0</v>
      </c>
      <c r="L32">
        <f t="shared" si="10"/>
        <v>12000</v>
      </c>
      <c r="N32">
        <f t="shared" si="12"/>
        <v>24000</v>
      </c>
      <c r="O32">
        <f t="shared" si="11"/>
        <v>147000</v>
      </c>
    </row>
    <row r="33" spans="6:21" x14ac:dyDescent="0.25">
      <c r="F33" s="1" t="s">
        <v>26</v>
      </c>
      <c r="G33" s="3">
        <v>0.17499999999999999</v>
      </c>
      <c r="H33">
        <f>SUM(M26*G33)</f>
        <v>21000</v>
      </c>
      <c r="I33">
        <v>0</v>
      </c>
      <c r="J33">
        <f t="shared" si="9"/>
        <v>21000</v>
      </c>
      <c r="K33">
        <v>0</v>
      </c>
      <c r="L33">
        <f t="shared" si="10"/>
        <v>21000</v>
      </c>
      <c r="N33">
        <f t="shared" si="12"/>
        <v>3000</v>
      </c>
      <c r="O33">
        <f t="shared" si="11"/>
        <v>147000</v>
      </c>
    </row>
    <row r="34" spans="6:21" x14ac:dyDescent="0.25">
      <c r="F34" s="1" t="s">
        <v>27</v>
      </c>
      <c r="G34" s="3">
        <v>2.5000000000000001E-2</v>
      </c>
      <c r="H34">
        <f>SUM(M26*G34)</f>
        <v>3000</v>
      </c>
      <c r="I34">
        <v>0</v>
      </c>
      <c r="J34">
        <f t="shared" si="9"/>
        <v>3000</v>
      </c>
      <c r="K34">
        <v>0</v>
      </c>
      <c r="L34">
        <f t="shared" si="10"/>
        <v>3000</v>
      </c>
      <c r="N34">
        <f t="shared" si="12"/>
        <v>0</v>
      </c>
      <c r="O34">
        <f t="shared" si="11"/>
        <v>147000</v>
      </c>
    </row>
    <row r="36" spans="6:21" x14ac:dyDescent="0.25">
      <c r="F36" s="1" t="s">
        <v>2</v>
      </c>
      <c r="G36" s="1" t="s">
        <v>12</v>
      </c>
      <c r="H36" s="1" t="s">
        <v>12</v>
      </c>
      <c r="I36" s="1" t="s">
        <v>12</v>
      </c>
      <c r="J36" s="1">
        <f t="shared" ref="J36" si="13">SUM(J25:J34)</f>
        <v>147000</v>
      </c>
      <c r="K36" s="1">
        <f>SUM(K25:K34)</f>
        <v>0</v>
      </c>
      <c r="L36" s="1">
        <f>SUM(L25:L34)</f>
        <v>147000</v>
      </c>
      <c r="M36" s="1" t="s">
        <v>12</v>
      </c>
      <c r="N36" s="1">
        <f>SUM(N34)</f>
        <v>0</v>
      </c>
      <c r="O36" s="1">
        <f>SUM(O34)</f>
        <v>147000</v>
      </c>
      <c r="S36" t="s">
        <v>2</v>
      </c>
      <c r="U36">
        <f>SUM(U5:U35)</f>
        <v>4500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ABDULLAHKHAN</dc:creator>
  <cp:lastModifiedBy>MUHAMMAD ABDULLAHKHAN</cp:lastModifiedBy>
  <dcterms:created xsi:type="dcterms:W3CDTF">2026-06-30T10:12:03Z</dcterms:created>
  <dcterms:modified xsi:type="dcterms:W3CDTF">2026-07-02T10:34:41Z</dcterms:modified>
</cp:coreProperties>
</file>